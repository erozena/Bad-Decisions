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a89cb6dbb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 AR" sheetId="1" r:id="R43fe05ba307c4abe"/>
    <x:sheet xmlns:r="http://schemas.openxmlformats.org/officeDocument/2006/relationships" name="Inventory" sheetId="2" r:id="R08d326a56c8c4658"/>
    <x:sheet xmlns:r="http://schemas.openxmlformats.org/officeDocument/2006/relationships" name="Payroll" sheetId="3" r:id="R6b8cf5d318234ea4"/>
    <x:sheet xmlns:r="http://schemas.openxmlformats.org/officeDocument/2006/relationships" name="PPE" sheetId="4" r:id="Rd49f96bea59a4409"/>
    <x:sheet xmlns:r="http://schemas.openxmlformats.org/officeDocument/2006/relationships" name="Debt Owner" sheetId="5" r:id="R7803f1d86b734983"/>
    <x:sheet xmlns:r="http://schemas.openxmlformats.org/officeDocument/2006/relationships" name="Equity" sheetId="6" r:id="R34e09f3864604e83"/>
    <x:sheet xmlns:r="http://schemas.openxmlformats.org/officeDocument/2006/relationships" name="Opening BS" sheetId="7" r:id="R3d811e8543ad45bc"/>
    <x:sheet xmlns:r="http://schemas.openxmlformats.org/officeDocument/2006/relationships" name="Opex" sheetId="8" r:id="Rda9b1d3dc4084636"/>
    <x:sheet xmlns:r="http://schemas.openxmlformats.org/officeDocument/2006/relationships" name="Management Bridge" sheetId="9" r:id="R33e3b6b8fdcd4249"/>
    <x:sheet xmlns:r="http://schemas.openxmlformats.org/officeDocument/2006/relationships" name="Summary" sheetId="10" r:id="R7206d63fa42942ad"/>
    <x:sheet xmlns:r="http://schemas.openxmlformats.org/officeDocument/2006/relationships" name="Cash Flow" sheetId="11" r:id="Rcb1a769b89164f5e"/>
    <x:sheet xmlns:r="http://schemas.openxmlformats.org/officeDocument/2006/relationships" name="Audit" sheetId="12" r:id="R589211eae09341e2"/>
    <x:sheet xmlns:r="http://schemas.openxmlformats.org/officeDocument/2006/relationships" name="Sources" sheetId="13" r:id="Rb8175a5b9bce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6">
    <x:font>
      <x:sz val="11"/>
      <x:name val="Carlito"/>
    </x:font>
    <x:font>
      <x:sz val="10"/>
      <x:color rgb="FF1F1F1F"/>
      <x:name val="Arial"/>
    </x:font>
    <x:font>
      <x:b/>
      <x:sz val="15"/>
      <x:color rgb="FFFFFFFF"/>
      <x:name val="Arial"/>
    </x:font>
    <x:font>
      <x:i/>
      <x:sz val="10"/>
      <x:color rgb="FF404040"/>
      <x:name val="Arial"/>
    </x:font>
    <x:font>
      <x:b/>
      <x:sz val="11"/>
      <x:color rgb="FF1F1F1F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double">
        <x:color rgb="FF7F7F7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5" fillId="4" borderId="1" xfId="0" applyNumberFormat="1" applyFont="1" applyFill="1" applyBorder="1" applyAlignment="1">
      <x:alignment wrapText="1"/>
    </x:xf>
    <x:xf numFmtId="20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fc81b6f3c41be" /><Relationship Type="http://schemas.openxmlformats.org/officeDocument/2006/relationships/theme" Target="/xl/theme/theme1.xml" Id="Rc8ab42b0d1a249cd" /><Relationship Type="http://schemas.openxmlformats.org/officeDocument/2006/relationships/sharedStrings" Target="/xl/sharedStrings.xml" Id="R0a1f248228df4927" /><Relationship Type="http://schemas.openxmlformats.org/officeDocument/2006/relationships/worksheet" Target="/xl/worksheets/sheet1.xml" Id="R43fe05ba307c4abe" /><Relationship Type="http://schemas.openxmlformats.org/officeDocument/2006/relationships/worksheet" Target="/xl/worksheets/sheet2.xml" Id="R08d326a56c8c4658" /><Relationship Type="http://schemas.openxmlformats.org/officeDocument/2006/relationships/worksheet" Target="/xl/worksheets/sheet3.xml" Id="R6b8cf5d318234ea4" /><Relationship Type="http://schemas.openxmlformats.org/officeDocument/2006/relationships/worksheet" Target="/xl/worksheets/sheet4.xml" Id="Rd49f96bea59a4409" /><Relationship Type="http://schemas.openxmlformats.org/officeDocument/2006/relationships/worksheet" Target="/xl/worksheets/sheet5.xml" Id="R7803f1d86b734983" /><Relationship Type="http://schemas.openxmlformats.org/officeDocument/2006/relationships/worksheet" Target="/xl/worksheets/sheet6.xml" Id="R34e09f3864604e83" /><Relationship Type="http://schemas.openxmlformats.org/officeDocument/2006/relationships/worksheet" Target="/xl/worksheets/sheet7.xml" Id="R3d811e8543ad45bc" /><Relationship Type="http://schemas.openxmlformats.org/officeDocument/2006/relationships/worksheet" Target="/xl/worksheets/sheet8.xml" Id="Rda9b1d3dc4084636" /><Relationship Type="http://schemas.openxmlformats.org/officeDocument/2006/relationships/worksheet" Target="/xl/worksheets/sheet9.xml" Id="R33e3b6b8fdcd4249" /><Relationship Type="http://schemas.openxmlformats.org/officeDocument/2006/relationships/worksheet" Target="/xl/worksheets/sheet10.xml" Id="R7206d63fa42942ad" /><Relationship Type="http://schemas.openxmlformats.org/officeDocument/2006/relationships/worksheet" Target="/xl/worksheets/sheet11.xml" Id="Rcb1a769b89164f5e" /><Relationship Type="http://schemas.openxmlformats.org/officeDocument/2006/relationships/worksheet" Target="/xl/worksheets/sheet12.xml" Id="R589211eae09341e2" /><Relationship Type="http://schemas.openxmlformats.org/officeDocument/2006/relationships/worksheet" Target="/xl/worksheets/sheet13.xml" Id="Rb8175a5b9bce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</x:cols>
  <x:sheetData>
    <x:row r="1" ht="18" hidden="0" customHeight="1">
      <x:c r="A1" s="5" t="str">
        <x:v>Revenue and Receivables Schedule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Customer / stream</x:v>
      </x:c>
      <x:c r="B4" s="13" t="str">
        <x:v>Revenue</x:v>
      </x:c>
      <x:c r="C4" s="13" t="str">
        <x:v>Cash collected</x:v>
      </x:c>
      <x:c r="D4" s="13" t="str">
        <x:v>Gross receivable</x:v>
      </x:c>
      <x:c r="E4" s="13" t="str">
        <x:v>Credit loss</x:v>
      </x:c>
      <x:c r="F4" s="13" t="str">
        <x:v>Net receivable</x:v>
      </x:c>
    </x:row>
    <x:row r="5" ht="15" hidden="0" customHeight="1">
      <x:c r="A5" s="14" t="str">
        <x:v>NorthStar</x:v>
      </x:c>
      <x:c r="B5" s="18" t="n">
        <x:v>180000</x:v>
      </x:c>
      <x:c r="C5" s="18" t="n">
        <x:v>180000</x:v>
      </x:c>
      <x:c r="D5" s="18" t="n">
        <x:v>0</x:v>
      </x:c>
      <x:c r="E5" s="18" t="n">
        <x:v>0</x:v>
      </x:c>
      <x:c r="F5" s="18" t="n">
        <x:v>0</x:v>
      </x:c>
    </x:row>
    <x:row r="6" ht="15" hidden="0" customHeight="1">
      <x:c r="A6" s="14" t="str">
        <x:v>Freedom Festivals</x:v>
      </x:c>
      <x:c r="B6" s="18" t="n">
        <x:v>200000</x:v>
      </x:c>
      <x:c r="C6" s="18" t="n">
        <x:v>142000</x:v>
      </x:c>
      <x:c r="D6" s="18" t="n">
        <x:v>58000</x:v>
      </x:c>
      <x:c r="E6" s="18" t="n">
        <x:v>0</x:v>
      </x:c>
      <x:c r="F6" s="18" t="n">
        <x:v>58000</x:v>
      </x:c>
    </x:row>
    <x:row r="7" ht="15" hidden="0" customHeight="1">
      <x:c r="A7" s="14" t="str">
        <x:v>Phoenix People</x:v>
      </x:c>
      <x:c r="B7" s="18" t="n">
        <x:v>100000</x:v>
      </x:c>
      <x:c r="C7" s="18" t="n">
        <x:v>70000</x:v>
      </x:c>
      <x:c r="D7" s="18" t="n">
        <x:v>30000</x:v>
      </x:c>
      <x:c r="E7" s="18" t="n">
        <x:v>0</x:v>
      </x:c>
      <x:c r="F7" s="18" t="n">
        <x:v>30000</x:v>
      </x:c>
    </x:row>
    <x:row r="8" ht="15" hidden="0" customHeight="1">
      <x:c r="A8" s="14" t="str">
        <x:v>Liberty Hotels</x:v>
      </x:c>
      <x:c r="B8" s="18" t="n">
        <x:v>120000</x:v>
      </x:c>
      <x:c r="C8" s="18" t="n">
        <x:v>95000</x:v>
      </x:c>
      <x:c r="D8" s="18" t="n">
        <x:v>25000</x:v>
      </x:c>
      <x:c r="E8" s="18" t="n">
        <x:v>0</x:v>
      </x:c>
      <x:c r="F8" s="18" t="n">
        <x:v>25000</x:v>
      </x:c>
    </x:row>
    <x:row r="9" ht="15" hidden="0" customHeight="1">
      <x:c r="A9" s="14" t="str">
        <x:v>Finally Single web</x:v>
      </x:c>
      <x:c r="B9" s="18" t="n">
        <x:v>270000</x:v>
      </x:c>
      <x:c r="C9" s="18" t="n">
        <x:v>250000</x:v>
      </x:c>
      <x:c r="D9" s="18" t="n">
        <x:v>20000</x:v>
      </x:c>
      <x:c r="E9" s="18" t="n">
        <x:v>0</x:v>
      </x:c>
      <x:c r="F9" s="18" t="n">
        <x:v>20000</x:v>
      </x:c>
    </x:row>
    <x:row r="10" ht="15" hidden="0" customHeight="1">
      <x:c r="A10" s="14" t="str">
        <x:v>Never Call Back web</x:v>
      </x:c>
      <x:c r="B10" s="18" t="n">
        <x:v>90000</x:v>
      </x:c>
      <x:c r="C10" s="18" t="n">
        <x:v>37000</x:v>
      </x:c>
      <x:c r="D10" s="18" t="n">
        <x:v>53000</x:v>
      </x:c>
      <x:c r="E10" s="18" t="n">
        <x:v>-18000</x:v>
      </x:c>
      <x:c r="F10" s="18" t="n">
        <x:v>35000</x:v>
      </x:c>
    </x:row>
    <x:row r="11" ht="15" hidden="0" customHeight="1">
      <x:c r="A11" s="17" t="str">
        <x:v>Delivered revenue total</x:v>
      </x:c>
      <x:c r="B11" s="19" t="n">
        <x:f>SUM(B5:B10)</x:f>
        <x:v>960000</x:v>
      </x:c>
      <x:c r="C11" s="19" t="n">
        <x:f>SUM(C5:C10)</x:f>
        <x:v>774000</x:v>
      </x:c>
      <x:c r="D11" s="19" t="n">
        <x:f>SUM(D5:D10)</x:f>
        <x:v>186000</x:v>
      </x:c>
      <x:c r="E11" s="19" t="n">
        <x:f>SUM(E5:E10)</x:f>
        <x:v>-18000</x:v>
      </x:c>
      <x:c r="F11" s="19" t="n">
        <x:f>SUM(F5:F10)</x:f>
        <x:v>168000</x:v>
      </x:c>
    </x:row>
    <x:row r="12" ht="15" hidden="0" customHeight="1">
      <x:c r="B12" s="20"/>
      <x:c r="C12" s="20"/>
      <x:c r="D12" s="20"/>
      <x:c r="E12" s="20"/>
      <x:c r="F12" s="20"/>
    </x:row>
    <x:row r="13" ht="15" hidden="0" customHeight="1">
      <x:c r="A13" s="21" t="str">
        <x:v>September customer deposits</x:v>
      </x:c>
      <x:c r="B13" s="22" t="n">
        <x:v>90000</x:v>
      </x:c>
      <x:c r="C13" s="20"/>
      <x:c r="D13" s="20"/>
      <x:c r="E13" s="20"/>
      <x:c r="F13" s="20"/>
    </x:row>
    <x:row r="14" ht="15" hidden="0" customHeight="1">
      <x:c r="A14" s="21" t="str">
        <x:v>Contract liability at 31 August</x:v>
      </x:c>
      <x:c r="B14" s="22" t="n">
        <x:f>B13</x:f>
        <x:v>90000</x:v>
      </x:c>
      <x:c r="C14" s="20"/>
      <x:c r="D14" s="20"/>
      <x:c r="E14" s="20"/>
      <x:c r="F14" s="20"/>
    </x:row>
    <x:row r="15"/>
    <x:row r="16" ht="26.399999618530273" hidden="0" customHeight="1">
      <x:c r="A16" s="24" t="str">
        <x:v>Basis</x:v>
      </x:c>
      <x:c r="B16" s="24" t="str">
        <x:v>Revenue is recognised on documented delivery or completion. R-17 is a EUR18,000 specific loss. September deposits are liabilities.</x:v>
      </x:c>
      <x:c r="C16" s="24"/>
      <x:c r="D16" s="24"/>
      <x:c r="E16" s="24"/>
      <x:c r="F16" s="24"/>
    </x:row>
  </x:sheetData>
  <x:mergeCells>
    <x:mergeCell ref="A1:F1"/>
    <x:mergeCell ref="A2:F2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5" hidden="0" customWidth="1"/>
    <x:col min="4" max="4" width="20" hidden="0" customWidth="1"/>
  </x:cols>
  <x:sheetData>
    <x:row r="1" ht="18" hidden="0" customHeight="1">
      <x:c r="A1" s="5" t="str">
        <x:v>Inventory and COGS Schedule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Roll-forward</x:v>
      </x:c>
      <x:c r="B4" s="13" t="str">
        <x:v>EUR</x:v>
      </x:c>
    </x:row>
    <x:row r="5" ht="15" hidden="0" customHeight="1">
      <x:c r="A5" s="14" t="str">
        <x:v>Opening inventory</x:v>
      </x:c>
      <x:c r="B5" s="18" t="n">
        <x:v>80000</x:v>
      </x:c>
    </x:row>
    <x:row r="6" ht="15" hidden="0" customHeight="1">
      <x:c r="A6" s="14" t="str">
        <x:v>Goods received</x:v>
      </x:c>
      <x:c r="B6" s="18" t="n">
        <x:v>459000</x:v>
      </x:c>
    </x:row>
    <x:row r="7" ht="15" hidden="0" customHeight="1">
      <x:c r="A7" s="14" t="str">
        <x:v>Materials COGS on delivered sales</x:v>
      </x:c>
      <x:c r="B7" s="18" t="n">
        <x:v>-405000</x:v>
      </x:c>
    </x:row>
    <x:row r="8" ht="15" hidden="0" customHeight="1">
      <x:c r="A8" s="14" t="str">
        <x:v>Closing physical stock before impairment</x:v>
      </x:c>
      <x:c r="B8" s="18" t="n">
        <x:f>SUM(B5:B7)</x:f>
        <x:v>134000</x:v>
      </x:c>
    </x:row>
    <x:row r="9" ht="15" hidden="0" customHeight="1">
      <x:c r="A9" s="14" t="str">
        <x:v>Basement-stock impairment</x:v>
      </x:c>
      <x:c r="B9" s="18" t="n">
        <x:v>-22000</x:v>
      </x:c>
    </x:row>
    <x:row r="10" ht="15" hidden="0" customHeight="1">
      <x:c r="A10" s="17" t="str">
        <x:v>Closing recoverable inventory</x:v>
      </x:c>
      <x:c r="B10" s="19" t="n">
        <x:f>SUM(B8:B9)</x:f>
        <x:v>112000</x:v>
      </x:c>
    </x:row>
    <x:row r="11" ht="15" hidden="0" customHeight="1">
      <x:c r="B11" s="20"/>
    </x:row>
    <x:row r="12" ht="15" hidden="0" customHeight="1">
      <x:c r="A12" s="23" t="str">
        <x:v>Disposal quote</x:v>
      </x:c>
      <x:c r="B12" s="25" t="n">
        <x:v>2000</x:v>
      </x:c>
    </x:row>
    <x:row r="13" ht="39.599998474121094" hidden="0" customHeight="1">
      <x:c r="A13" s="24" t="str">
        <x:v>Treatment</x:v>
      </x:c>
      <x:c r="B13" s="24" t="str">
        <x:v>EUR2,000 disclosed as a potential disposal obligation. It is not deducted from inventory and no provision is recognised without a confirmed present obligation.</x:v>
      </x:c>
      <x:c r="C13" s="24"/>
      <x:c r="D13" s="24"/>
    </x:row>
  </x:sheetData>
  <x:mergeCells>
    <x:mergeCell ref="A1:D1"/>
    <x:mergeCell ref="A2:D2"/>
    <x:mergeCell ref="B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4" hidden="0" customWidth="1"/>
    <x:col min="5" max="5" width="16" hidden="0" customWidth="1"/>
  </x:cols>
  <x:sheetData>
    <x:row r="1" ht="18" hidden="0" customHeight="1">
      <x:c r="A1" s="5" t="str">
        <x:v>Payroll Accrual and Functional Classification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Payroll category</x:v>
      </x:c>
      <x:c r="B4" s="13" t="str">
        <x:v>Expense</x:v>
      </x:c>
      <x:c r="C4" s="13" t="str">
        <x:v>Cash paid</x:v>
      </x:c>
      <x:c r="D4" s="13" t="str">
        <x:v>P&amp;L classification</x:v>
      </x:c>
    </x:row>
    <x:row r="5" ht="15" hidden="0" customHeight="1">
      <x:c r="A5" s="14" t="str">
        <x:v>Event delivery staff</x:v>
      </x:c>
      <x:c r="B5" s="18" t="n">
        <x:v>80000</x:v>
      </x:c>
      <x:c r="C5" s="18"/>
      <x:c r="D5" s="14" t="str">
        <x:v>Direct service cost</x:v>
      </x:c>
    </x:row>
    <x:row r="6" ht="15" hidden="0" customHeight="1">
      <x:c r="A6" s="14" t="str">
        <x:v>Sales and partnerships</x:v>
      </x:c>
      <x:c r="B6" s="18" t="n">
        <x:v>72000</x:v>
      </x:c>
      <x:c r="C6" s="18"/>
      <x:c r="D6" s="14" t="str">
        <x:v>Selling expense</x:v>
      </x:c>
    </x:row>
    <x:row r="7" ht="15" hidden="0" customHeight="1">
      <x:c r="A7" s="14" t="str">
        <x:v>Office and finance</x:v>
      </x:c>
      <x:c r="B7" s="18" t="n">
        <x:v>96000</x:v>
      </x:c>
      <x:c r="C7" s="18"/>
      <x:c r="D7" s="14" t="str">
        <x:v>Administrative expense</x:v>
      </x:c>
    </x:row>
    <x:row r="8" ht="15" hidden="0" customHeight="1">
      <x:c r="A8" s="17" t="str">
        <x:v>Period payroll</x:v>
      </x:c>
      <x:c r="B8" s="19" t="n">
        <x:f>SUM(B5:B7)</x:f>
        <x:v>248000</x:v>
      </x:c>
      <x:c r="C8" s="19" t="n">
        <x:v>231000</x:v>
      </x:c>
      <x:c r="D8" s="17"/>
    </x:row>
    <x:row r="9" ht="15" hidden="0" customHeight="1">
      <x:c r="B9" s="20"/>
      <x:c r="C9" s="20"/>
    </x:row>
    <x:row r="10" ht="15" hidden="0" customHeight="1">
      <x:c r="A10" s="14" t="str">
        <x:v>Opening unpaid payroll</x:v>
      </x:c>
      <x:c r="B10" s="18" t="n">
        <x:v>15000</x:v>
      </x:c>
      <x:c r="C10" s="20"/>
    </x:row>
    <x:row r="11" ht="15" hidden="0" customHeight="1">
      <x:c r="A11" s="14" t="str">
        <x:v>Period payroll expense</x:v>
      </x:c>
      <x:c r="B11" s="18" t="n">
        <x:f>B8</x:f>
        <x:v>248000</x:v>
      </x:c>
      <x:c r="C11" s="20"/>
    </x:row>
    <x:row r="12" ht="15" hidden="0" customHeight="1">
      <x:c r="A12" s="14" t="str">
        <x:v>Cash paid</x:v>
      </x:c>
      <x:c r="B12" s="18" t="n">
        <x:v>-231000</x:v>
      </x:c>
      <x:c r="C12" s="20"/>
    </x:row>
    <x:row r="13" ht="15" hidden="0" customHeight="1">
      <x:c r="A13" s="17" t="str">
        <x:v>Closing unpaid payroll</x:v>
      </x:c>
      <x:c r="B13" s="19" t="n">
        <x:f>SUM(B10:B12)</x:f>
        <x:v>32000</x:v>
      </x:c>
      <x:c r="C13" s="20"/>
    </x:row>
    <x:row r="14"/>
    <x:row r="15" ht="26.399999618530273" hidden="0" customHeight="1">
      <x:c r="A15" s="24" t="str">
        <x:v>Founder payment</x:v>
      </x:c>
      <x:c r="B15" s="24" t="str">
        <x:v>EUR110,000 is an owner distribution (villa EUR70,000 plus owner-card EUR40,000), not payroll expense.</x:v>
      </x:c>
      <x:c r="C15" s="24"/>
      <x:c r="D15" s="24"/>
      <x:c r="E15" s="24"/>
    </x:row>
  </x:sheetData>
  <x:mergeCells>
    <x:mergeCell ref="A1:E1"/>
    <x:mergeCell ref="A2:E2"/>
    <x:mergeCell ref="B15:E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2" hidden="0" customWidth="1"/>
    <x:col min="4" max="4" width="16" hidden="0" customWidth="1"/>
    <x:col min="5" max="5" width="18" hidden="0" customWidth="1"/>
  </x:cols>
  <x:sheetData>
    <x:row r="1" ht="18" hidden="0" customHeight="1">
      <x:c r="A1" s="5" t="str">
        <x:v>Property Plant and Equipment Schedule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PPE cost</x:v>
      </x:c>
      <x:c r="B4" s="13" t="str">
        <x:v>EUR</x:v>
      </x:c>
      <x:c r="C4" s="13" t="str">
        <x:v>Accumulated depreciation</x:v>
      </x:c>
      <x:c r="D4" s="13" t="str">
        <x:v>EUR</x:v>
      </x:c>
    </x:row>
    <x:row r="5" ht="15" hidden="0" customHeight="1">
      <x:c r="A5" s="14" t="str">
        <x:v>Opening balance</x:v>
      </x:c>
      <x:c r="B5" s="18" t="n">
        <x:v>180000</x:v>
      </x:c>
      <x:c r="C5" s="18" t="str">
        <x:v>Opening balance</x:v>
      </x:c>
      <x:c r="D5" s="18" t="n">
        <x:v>45000</x:v>
      </x:c>
    </x:row>
    <x:row r="6" ht="15" hidden="0" customHeight="1">
      <x:c r="A6" s="14" t="str">
        <x:v>Pack-O-Matic 9000</x:v>
      </x:c>
      <x:c r="B6" s="18" t="n">
        <x:v>60000</x:v>
      </x:c>
      <x:c r="C6" s="18" t="str">
        <x:v>Period depreciation</x:v>
      </x:c>
      <x:c r="D6" s="18" t="n">
        <x:v>24000</x:v>
      </x:c>
    </x:row>
    <x:row r="7" ht="15" hidden="0" customHeight="1">
      <x:c r="A7" s="14" t="str">
        <x:v>Regret Photo Booth</x:v>
      </x:c>
      <x:c r="B7" s="18" t="n">
        <x:v>20000</x:v>
      </x:c>
      <x:c r="C7" s="18" t="str">
        <x:v>Closing accumulated depreciation</x:v>
      </x:c>
      <x:c r="D7" s="18" t="n">
        <x:f>SUM(D5:D6)</x:f>
        <x:v>69000</x:v>
      </x:c>
    </x:row>
    <x:row r="8" ht="15" hidden="0" customHeight="1">
      <x:c r="A8" s="16" t="str">
        <x:v>Closing PPE cost</x:v>
      </x:c>
      <x:c r="B8" s="26" t="n">
        <x:f>SUM(B5:B7)</x:f>
        <x:v>260000</x:v>
      </x:c>
      <x:c r="C8" s="26"/>
      <x:c r="D8" s="26"/>
    </x:row>
    <x:row r="9" ht="15" hidden="0" customHeight="1">
      <x:c r="A9" s="17" t="str">
        <x:v>Net book value</x:v>
      </x:c>
      <x:c r="B9" s="19" t="n">
        <x:f>B8-D7</x:f>
        <x:v>191000</x:v>
      </x:c>
      <x:c r="C9" s="19"/>
      <x:c r="D9" s="19"/>
    </x:row>
    <x:row r="10"/>
    <x:row r="11" ht="26.399999618530273" hidden="0" customHeight="1">
      <x:c r="A11" s="24" t="str">
        <x:v>Treatment</x:v>
      </x:c>
      <x:c r="B11" s="24" t="str">
        <x:v>Pack-O-Matic and photo booth are capitalised. The EUR10,000 belt/calibration restored normal condition and is a repair expense. Depreciation follows the independent EUR24,000 estimate.</x:v>
      </x:c>
      <x:c r="C11" s="24"/>
      <x:c r="D11" s="24"/>
      <x:c r="E11" s="24"/>
    </x:row>
  </x:sheetData>
  <x:mergeCells>
    <x:mergeCell ref="A1:E1"/>
    <x:mergeCell ref="A2:E2"/>
    <x:mergeCell ref="B11:E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4" hidden="0" customWidth="1"/>
    <x:col min="4" max="4" width="30" hidden="0" customWidth="1"/>
    <x:col min="5" max="5" width="16" hidden="0" customWidth="1"/>
  </x:cols>
  <x:sheetData>
    <x:row r="1" ht="18" hidden="0" customHeight="1">
      <x:c r="A1" s="5" t="str">
        <x:v>Debt Supplier and Owner Schedules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Loan principal</x:v>
      </x:c>
      <x:c r="B4" s="13" t="str">
        <x:v>EUR</x:v>
      </x:c>
      <x:c r="D4" s="13" t="str">
        <x:v>Interest</x:v>
      </x:c>
      <x:c r="E4" s="13" t="str">
        <x:v>EUR</x:v>
      </x:c>
    </x:row>
    <x:row r="5" ht="15" hidden="0" customHeight="1">
      <x:c r="A5" s="14" t="str">
        <x:v>Opening loan</x:v>
      </x:c>
      <x:c r="B5" s="18" t="n">
        <x:v>100000</x:v>
      </x:c>
      <x:c r="D5" s="14" t="str">
        <x:v>Period interest expense</x:v>
      </x:c>
      <x:c r="E5" s="18" t="n">
        <x:v>12000</x:v>
      </x:c>
    </x:row>
    <x:row r="6" ht="15" hidden="0" customHeight="1">
      <x:c r="A6" s="14" t="str">
        <x:v>New bank advance</x:v>
      </x:c>
      <x:c r="B6" s="18" t="n">
        <x:v>50000</x:v>
      </x:c>
      <x:c r="D6" s="14" t="str">
        <x:v>Interest paid</x:v>
      </x:c>
      <x:c r="E6" s="18" t="n">
        <x:v>-10000</x:v>
      </x:c>
    </x:row>
    <x:row r="7" ht="15" hidden="0" customHeight="1">
      <x:c r="A7" s="14" t="str">
        <x:v>Principal repaid</x:v>
      </x:c>
      <x:c r="B7" s="18" t="n">
        <x:v>-19000</x:v>
      </x:c>
      <x:c r="D7" s="14" t="str">
        <x:v>Closing interest payable</x:v>
      </x:c>
      <x:c r="E7" s="18" t="n">
        <x:f>SUM(E5:E6)</x:f>
        <x:v>2000</x:v>
      </x:c>
    </x:row>
    <x:row r="8" ht="15" hidden="0" customHeight="1">
      <x:c r="A8" s="17" t="str">
        <x:v>Closing loan</x:v>
      </x:c>
      <x:c r="B8" s="19" t="n">
        <x:f>SUM(B5:B7)</x:f>
        <x:v>131000</x:v>
      </x:c>
      <x:c r="D8" t="str"/>
      <x:c r="E8" s="20"/>
    </x:row>
    <x:row r="9" ht="15" hidden="0" customHeight="1">
      <x:c r="B9" s="20"/>
      <x:c r="E9" s="20"/>
    </x:row>
    <x:row r="10" ht="15" hidden="0" customHeight="1">
      <x:c r="A10" s="13" t="str">
        <x:v>Supplier payable roll-forward</x:v>
      </x:c>
      <x:c r="B10" s="27" t="str">
        <x:v>EUR</x:v>
      </x:c>
      <x:c r="D10" s="13" t="str">
        <x:v>Closing supplier balances</x:v>
      </x:c>
      <x:c r="E10" s="27" t="str">
        <x:v>EUR</x:v>
      </x:c>
    </x:row>
    <x:row r="11" ht="15" hidden="0" customHeight="1">
      <x:c r="A11" s="14" t="str">
        <x:v>Opening payables</x:v>
      </x:c>
      <x:c r="B11" s="18" t="n">
        <x:v>45000</x:v>
      </x:c>
      <x:c r="D11" s="14" t="str">
        <x:v>BoxWorks</x:v>
      </x:c>
      <x:c r="E11" s="18" t="n">
        <x:v>25000</x:v>
      </x:c>
    </x:row>
    <x:row r="12" ht="15" hidden="0" customHeight="1">
      <x:c r="A12" s="14" t="str">
        <x:v>Goods received</x:v>
      </x:c>
      <x:c r="B12" s="18" t="n">
        <x:v>459000</x:v>
      </x:c>
      <x:c r="D12" s="14" t="str">
        <x:v>Glass &amp; Drama</x:v>
      </x:c>
      <x:c r="E12" s="18" t="n">
        <x:v>28000</x:v>
      </x:c>
    </x:row>
    <x:row r="13" ht="15" hidden="0" customHeight="1">
      <x:c r="A13" s="14" t="str">
        <x:v>Supplier cash payments</x:v>
      </x:c>
      <x:c r="B13" s="18" t="n">
        <x:v>-378000</x:v>
      </x:c>
      <x:c r="D13" s="14" t="str">
        <x:v>Print Again</x:v>
      </x:c>
      <x:c r="E13" s="18" t="n">
        <x:v>14000</x:v>
      </x:c>
    </x:row>
    <x:row r="14" ht="15" hidden="0" customHeight="1">
      <x:c r="A14" s="17" t="str">
        <x:v>Closing supplier payables</x:v>
      </x:c>
      <x:c r="B14" s="19" t="n">
        <x:f>SUM(B11:B13)</x:f>
        <x:v>126000</x:v>
      </x:c>
      <x:c r="D14" s="14" t="str">
        <x:v>Event Things Europe</x:v>
      </x:c>
      <x:c r="E14" s="18" t="n">
        <x:v>59000</x:v>
      </x:c>
    </x:row>
    <x:row r="15" ht="15" hidden="0" customHeight="1">
      <x:c r="B15" s="20"/>
      <x:c r="D15" s="17" t="str">
        <x:v>Confirmed total</x:v>
      </x:c>
      <x:c r="E15" s="19" t="n">
        <x:f>SUM(E11:E14)</x:f>
        <x:v>126000</x:v>
      </x:c>
    </x:row>
    <x:row r="16" ht="15" hidden="0" customHeight="1">
      <x:c r="B16" s="20"/>
      <x:c r="E16" s="20"/>
    </x:row>
    <x:row r="17" ht="15" hidden="0" customHeight="1">
      <x:c r="A17" s="13" t="str">
        <x:v>Owner distributions</x:v>
      </x:c>
      <x:c r="B17" s="27" t="str">
        <x:v>EUR</x:v>
      </x:c>
      <x:c r="D17" s="13" t="str">
        <x:v>Legal provision</x:v>
      </x:c>
      <x:c r="E17" s="27" t="str">
        <x:v>EUR</x:v>
      </x:c>
    </x:row>
    <x:row r="18" ht="15" hidden="0" customHeight="1">
      <x:c r="A18" s="14" t="str">
        <x:v>Villa reservation</x:v>
      </x:c>
      <x:c r="B18" s="18" t="n">
        <x:v>70000</x:v>
      </x:c>
      <x:c r="D18" s="14" t="str">
        <x:v>Probable employee claim</x:v>
      </x:c>
      <x:c r="E18" s="18" t="n">
        <x:v>25000</x:v>
      </x:c>
    </x:row>
    <x:row r="19" ht="15" hidden="0" customHeight="1">
      <x:c r="A19" s="14" t="str">
        <x:v>Other owner-card spending</x:v>
      </x:c>
      <x:c r="B19" s="18" t="n">
        <x:v>40000</x:v>
      </x:c>
      <x:c r="D19" s="14" t="str">
        <x:v>Disposal provision recognised</x:v>
      </x:c>
      <x:c r="E19" s="18" t="n">
        <x:v>0</x:v>
      </x:c>
    </x:row>
    <x:row r="20" ht="15" hidden="0" customHeight="1">
      <x:c r="A20" s="17" t="str">
        <x:v>Total owner distributions</x:v>
      </x:c>
      <x:c r="B20" s="19" t="n">
        <x:f>SUM(B18:B19)</x:f>
        <x:v>110000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7" hidden="0" customWidth="1"/>
    <x:col min="3" max="3" width="18" hidden="0" customWidth="1"/>
    <x:col min="4" max="4" width="18" hidden="0" customWidth="1"/>
  </x:cols>
  <x:sheetData>
    <x:row r="1" ht="18" hidden="0" customHeight="1">
      <x:c r="A1" s="5" t="str">
        <x:v>Equity Roll Forward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Equity roll-forward</x:v>
      </x:c>
      <x:c r="B4" s="13" t="str">
        <x:v>EUR</x:v>
      </x:c>
    </x:row>
    <x:row r="5" ht="15" hidden="0" customHeight="1">
      <x:c r="A5" s="14" t="str">
        <x:v>Opening equity reconstructed from supplied records</x:v>
      </x:c>
      <x:c r="B5" s="18" t="n">
        <x:f>'Opening BS'!B16</x:f>
        <x:v>170000</x:v>
      </x:c>
    </x:row>
    <x:row r="6" ht="15" hidden="0" customHeight="1">
      <x:c r="A6" s="14" t="str">
        <x:v>Profit for the period</x:v>
      </x:c>
      <x:c r="B6" s="18" t="n">
        <x:f>Summary!B22</x:f>
        <x:v>65000</x:v>
      </x:c>
    </x:row>
    <x:row r="7" ht="15" hidden="0" customHeight="1">
      <x:c r="A7" s="14" t="str">
        <x:v>Owner distributions</x:v>
      </x:c>
      <x:c r="B7" s="18" t="n">
        <x:f>-'Debt Owner'!B20</x:f>
        <x:v>-110000</x:v>
      </x:c>
    </x:row>
    <x:row r="8" ht="15" hidden="0" customHeight="1">
      <x:c r="A8" s="17" t="str">
        <x:v>Closing equity</x:v>
      </x:c>
      <x:c r="B8" s="19" t="n">
        <x:f>SUM(B5:B7)</x:f>
        <x:v>125000</x:v>
      </x:c>
    </x:row>
    <x:row r="9"/>
    <x:row r="10" ht="39.599998474121094" hidden="0" customHeight="1">
      <x:c r="A10" s="24" t="str">
        <x:v>Insurance treatment</x:v>
      </x:c>
      <x:c r="B10" s="24" t="str">
        <x:v>No original case file supports an opening prepaid-insurance balance or a period expense. The schedules therefore recognise no insurance adjustment and disclose this limitation.</x:v>
      </x:c>
      <x:c r="C10" s="24"/>
      <x:c r="D10" s="24"/>
    </x:row>
  </x:sheetData>
  <x:mergeCells>
    <x:mergeCell ref="A1:D1"/>
    <x:mergeCell ref="A2:D2"/>
    <x:mergeCell ref="B10:D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5" hidden="0" customWidth="1"/>
    <x:col min="4" max="4" width="18" hidden="0" customWidth="1"/>
    <x:col min="5" max="5" width="18" hidden="0" customWidth="1"/>
  </x:cols>
  <x:sheetData>
    <x:row r="1" ht="18" hidden="0" customHeight="1">
      <x:c r="A1" s="5" t="str">
        <x:v>Opening Balance Sheet Reconstruction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26.399999618530273" hidden="0" customHeight="1">
      <x:c r="A4" s="13" t="str">
        <x:v>Opening position</x:v>
      </x:c>
      <x:c r="B4" s="13" t="str">
        <x:v>Evidence-only basis</x:v>
      </x:c>
      <x:c r="C4" s="13" t="str">
        <x:v>Course-feedback alternative</x:v>
      </x:c>
    </x:row>
    <x:row r="5" ht="15" hidden="0" customHeight="1">
      <x:c r="A5" s="14" t="str">
        <x:v>Cash</x:v>
      </x:c>
      <x:c r="B5" s="18" t="n">
        <x:v>80000</x:v>
      </x:c>
      <x:c r="C5" s="18" t="n">
        <x:v>80000</x:v>
      </x:c>
    </x:row>
    <x:row r="6" ht="15" hidden="0" customHeight="1">
      <x:c r="A6" s="14" t="str">
        <x:v>Trade receivables</x:v>
      </x:c>
      <x:c r="B6" s="18" t="n">
        <x:v>35000</x:v>
      </x:c>
      <x:c r="C6" s="18" t="n">
        <x:v>35000</x:v>
      </x:c>
    </x:row>
    <x:row r="7" ht="15" hidden="0" customHeight="1">
      <x:c r="A7" s="14" t="str">
        <x:v>Inventory</x:v>
      </x:c>
      <x:c r="B7" s="18" t="n">
        <x:v>80000</x:v>
      </x:c>
      <x:c r="C7" s="18" t="n">
        <x:v>80000</x:v>
      </x:c>
    </x:row>
    <x:row r="8" ht="15" hidden="0" customHeight="1">
      <x:c r="A8" s="14" t="str">
        <x:v>Prepaid insurance</x:v>
      </x:c>
      <x:c r="B8" s="18" t="n">
        <x:v>0</x:v>
      </x:c>
      <x:c r="C8" s="18" t="n">
        <x:v>12000</x:v>
      </x:c>
    </x:row>
    <x:row r="9" ht="15" hidden="0" customHeight="1">
      <x:c r="A9" s="14" t="str">
        <x:v>Net PPE</x:v>
      </x:c>
      <x:c r="B9" s="18" t="n">
        <x:v>135000</x:v>
      </x:c>
      <x:c r="C9" s="18" t="n">
        <x:v>135000</x:v>
      </x:c>
    </x:row>
    <x:row r="10" ht="15" hidden="0" customHeight="1">
      <x:c r="A10" s="17" t="str">
        <x:v>Total assets</x:v>
      </x:c>
      <x:c r="B10" s="19" t="n">
        <x:f>SUM(B5:B9)</x:f>
        <x:v>330000</x:v>
      </x:c>
      <x:c r="C10" s="19" t="n">
        <x:f>SUM(C5:C9)</x:f>
        <x:v>342000</x:v>
      </x:c>
    </x:row>
    <x:row r="11" ht="15" hidden="0" customHeight="1">
      <x:c r="A11" s="14" t="str"/>
      <x:c r="B11" s="18"/>
      <x:c r="C11" s="18"/>
    </x:row>
    <x:row r="12" ht="15" hidden="0" customHeight="1">
      <x:c r="A12" s="14" t="str">
        <x:v>Supplier payables</x:v>
      </x:c>
      <x:c r="B12" s="18" t="n">
        <x:v>45000</x:v>
      </x:c>
      <x:c r="C12" s="18" t="n">
        <x:v>45000</x:v>
      </x:c>
    </x:row>
    <x:row r="13" ht="15" hidden="0" customHeight="1">
      <x:c r="A13" s="14" t="str">
        <x:v>Payroll accrual</x:v>
      </x:c>
      <x:c r="B13" s="18" t="n">
        <x:v>15000</x:v>
      </x:c>
      <x:c r="C13" s="18" t="n">
        <x:v>15000</x:v>
      </x:c>
    </x:row>
    <x:row r="14" ht="15" hidden="0" customHeight="1">
      <x:c r="A14" s="14" t="str">
        <x:v>Loan principal</x:v>
      </x:c>
      <x:c r="B14" s="18" t="n">
        <x:v>100000</x:v>
      </x:c>
      <x:c r="C14" s="18" t="n">
        <x:v>100000</x:v>
      </x:c>
    </x:row>
    <x:row r="15" ht="15" hidden="0" customHeight="1">
      <x:c r="A15" s="16" t="str">
        <x:v>Total liabilities</x:v>
      </x:c>
      <x:c r="B15" s="26" t="n">
        <x:f>SUM(B12:B14)</x:f>
        <x:v>160000</x:v>
      </x:c>
      <x:c r="C15" s="26" t="n">
        <x:f>SUM(C12:C14)</x:f>
        <x:v>160000</x:v>
      </x:c>
    </x:row>
    <x:row r="16" ht="15" hidden="0" customHeight="1">
      <x:c r="A16" s="17" t="str">
        <x:v>Opening equity</x:v>
      </x:c>
      <x:c r="B16" s="19" t="n">
        <x:f>B10-B15</x:f>
        <x:v>170000</x:v>
      </x:c>
      <x:c r="C16" s="19" t="n">
        <x:f>C10-C15</x:f>
        <x:v>182000</x:v>
      </x:c>
    </x:row>
    <x:row r="17" ht="39.599998474121094" hidden="0" customHeight="1">
      <x:c r="A17" s="24" t="str">
        <x:v>Boundary</x:v>
      </x:c>
      <x:c r="B17" s="24" t="str">
        <x:v>The evidence-only column is used by all final statements. The alternative is shown solely because course-feedback material repeatedly cites a EUR12,000 opening prepaid balance; it is not supported by an original case record.</x:v>
      </x:c>
      <x:c r="C17" s="24"/>
      <x:c r="D17" s="24"/>
      <x:c r="E17" s="24"/>
    </x:row>
  </x:sheetData>
  <x:mergeCells>
    <x:mergeCell ref="A1:E1"/>
    <x:mergeCell ref="A2:E2"/>
    <x:mergeCell ref="B17:E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9" hidden="0" customWidth="1"/>
    <x:col min="5" max="5" width="28" hidden="0" customWidth="1"/>
    <x:col min="6" max="6" width="16" hidden="0" customWidth="1"/>
  </x:cols>
  <x:sheetData>
    <x:row r="1" ht="18" hidden="0" customHeight="1">
      <x:c r="A1" s="5" t="str">
        <x:v>Operating Expense Schedule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Expense</x:v>
      </x:c>
      <x:c r="B4" s="13" t="str">
        <x:v>Cash paid</x:v>
      </x:c>
      <x:c r="C4" s="13" t="str">
        <x:v>Period expense</x:v>
      </x:c>
      <x:c r="D4" s="13" t="str">
        <x:v>Accrual or noncash</x:v>
      </x:c>
      <x:c r="E4" s="13" t="str">
        <x:v>Bank / evidence reference</x:v>
      </x:c>
    </x:row>
    <x:row r="5" ht="15" hidden="0" customHeight="1">
      <x:c r="A5" s="14" t="str">
        <x:v>Rent</x:v>
      </x:c>
      <x:c r="B5" s="18" t="n">
        <x:v>48000</x:v>
      </x:c>
      <x:c r="C5" s="18" t="n">
        <x:v>48000</x:v>
      </x:c>
      <x:c r="D5" s="18" t="n">
        <x:v>0</x:v>
      </x:c>
      <x:c r="E5" s="14" t="str">
        <x:v>02 RENT</x:v>
      </x:c>
    </x:row>
    <x:row r="6" ht="15" hidden="0" customHeight="1">
      <x:c r="A6" s="14" t="str">
        <x:v>Marketing</x:v>
      </x:c>
      <x:c r="B6" s="18" t="n">
        <x:v>55000</x:v>
      </x:c>
      <x:c r="C6" s="18" t="n">
        <x:v>55000</x:v>
      </x:c>
      <x:c r="D6" s="18" t="n">
        <x:v>0</x:v>
      </x:c>
      <x:c r="E6" s="14" t="str">
        <x:v>02 MKT</x:v>
      </x:c>
    </x:row>
    <x:row r="7" ht="15" hidden="0" customHeight="1">
      <x:c r="A7" s="14" t="str">
        <x:v>Software</x:v>
      </x:c>
      <x:c r="B7" s="18" t="n">
        <x:v>16000</x:v>
      </x:c>
      <x:c r="C7" s="18" t="n">
        <x:v>16000</x:v>
      </x:c>
      <x:c r="D7" s="18" t="n">
        <x:v>0</x:v>
      </x:c>
      <x:c r="E7" s="14" t="str">
        <x:v>02 SOFT</x:v>
      </x:c>
    </x:row>
    <x:row r="8" ht="15" hidden="0" customHeight="1">
      <x:c r="A8" s="14" t="str">
        <x:v>Utilities</x:v>
      </x:c>
      <x:c r="B8" s="18" t="n">
        <x:v>12000</x:v>
      </x:c>
      <x:c r="C8" s="18" t="n">
        <x:v>12000</x:v>
      </x:c>
      <x:c r="D8" s="18" t="n">
        <x:v>0</x:v>
      </x:c>
      <x:c r="E8" s="14" t="str">
        <x:v>02 UTIL</x:v>
      </x:c>
    </x:row>
    <x:row r="9" ht="15" hidden="0" customHeight="1">
      <x:c r="A9" s="14" t="str">
        <x:v>Repair</x:v>
      </x:c>
      <x:c r="B9" s="18" t="n">
        <x:v>10000</x:v>
      </x:c>
      <x:c r="C9" s="18" t="n">
        <x:v>10000</x:v>
      </x:c>
      <x:c r="D9" s="18" t="n">
        <x:v>0</x:v>
      </x:c>
      <x:c r="E9" s="14" t="str">
        <x:v>02 REPAIR / 06 R-771</x:v>
      </x:c>
    </x:row>
    <x:row r="10" ht="15" hidden="0" customHeight="1">
      <x:c r="A10" s="14" t="str">
        <x:v>Inventory impairment</x:v>
      </x:c>
      <x:c r="B10" s="18" t="n">
        <x:v>0</x:v>
      </x:c>
      <x:c r="C10" s="18" t="n">
        <x:v>22000</x:v>
      </x:c>
      <x:c r="D10" s="18" t="n">
        <x:v>22000</x:v>
      </x:c>
      <x:c r="E10" s="14" t="str">
        <x:v>05 / 11</x:v>
      </x:c>
    </x:row>
    <x:row r="11" ht="15" hidden="0" customHeight="1">
      <x:c r="A11" s="14" t="str">
        <x:v>Bad-debt expense</x:v>
      </x:c>
      <x:c r="B11" s="18" t="n">
        <x:v>0</x:v>
      </x:c>
      <x:c r="C11" s="18" t="n">
        <x:v>18000</x:v>
      </x:c>
      <x:c r="D11" s="18" t="n">
        <x:v>18000</x:v>
      </x:c>
      <x:c r="E11" s="14" t="str">
        <x:v>04 R-17 / 11</x:v>
      </x:c>
    </x:row>
    <x:row r="12" ht="15" hidden="0" customHeight="1">
      <x:c r="A12" s="14" t="str">
        <x:v>Legal provision</x:v>
      </x:c>
      <x:c r="B12" s="18" t="n">
        <x:v>0</x:v>
      </x:c>
      <x:c r="C12" s="18" t="n">
        <x:v>25000</x:v>
      </x:c>
      <x:c r="D12" s="18" t="n">
        <x:v>25000</x:v>
      </x:c>
      <x:c r="E12" s="14" t="str">
        <x:v>09 / 11</x:v>
      </x:c>
    </x:row>
    <x:row r="13" ht="15" hidden="0" customHeight="1">
      <x:c r="A13" s="14" t="str">
        <x:v>Depreciation</x:v>
      </x:c>
      <x:c r="B13" s="18" t="n">
        <x:v>0</x:v>
      </x:c>
      <x:c r="C13" s="18" t="n">
        <x:v>24000</x:v>
      </x:c>
      <x:c r="D13" s="18" t="n">
        <x:v>24000</x:v>
      </x:c>
      <x:c r="E13" s="14" t="str">
        <x:v>08</x:v>
      </x:c>
    </x:row>
    <x:row r="14" ht="15" hidden="0" customHeight="1">
      <x:c r="A14" s="17" t="str">
        <x:v>Total operating expenses</x:v>
      </x:c>
      <x:c r="B14" s="19" t="n">
        <x:f>SUM(B5:B13)</x:f>
        <x:v>141000</x:v>
      </x:c>
      <x:c r="C14" s="19" t="n">
        <x:f>SUM(C5:C13)</x:f>
        <x:v>230000</x:v>
      </x:c>
      <x:c r="D14" s="19" t="n">
        <x:f>SUM(D5:D13)</x:f>
        <x:v>89000</x:v>
      </x:c>
      <x:c r="E14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8" hidden="0" customHeight="1">
      <x:c r="A1" s="5" t="str">
        <x:v>Management Profit Reconciliation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Bridge item</x:v>
      </x:c>
      <x:c r="B4" s="13" t="str">
        <x:v>EUR</x:v>
      </x:c>
    </x:row>
    <x:row r="5" ht="15" hidden="0" customHeight="1">
      <x:c r="A5" s="14" t="str">
        <x:v>Management profit claimed</x:v>
      </x:c>
      <x:c r="B5" s="18" t="n">
        <x:v>312000</x:v>
      </x:c>
    </x:row>
    <x:row r="6" ht="15" hidden="0" customHeight="1">
      <x:c r="A6" s="14" t="str">
        <x:v>Remove September deposits from revenue</x:v>
      </x:c>
      <x:c r="B6" s="18" t="n">
        <x:f>-'Rev AR'!B13</x:f>
        <x:v>-90000</x:v>
      </x:c>
    </x:row>
    <x:row r="7" ht="15" hidden="0" customHeight="1">
      <x:c r="A7" s="14" t="str">
        <x:v>Reclassify bank advance from income to loan</x:v>
      </x:c>
      <x:c r="B7" s="18" t="n">
        <x:f>-'Debt Owner'!B6</x:f>
        <x:v>-50000</x:v>
      </x:c>
    </x:row>
    <x:row r="8" ht="15" hidden="0" customHeight="1">
      <x:c r="A8" s="14" t="str">
        <x:v>Correct materials and wages</x:v>
      </x:c>
      <x:c r="B8" s="18" t="n">
        <x:f>-(0-Inventory!B7+Payroll!B8-620000)</x:f>
        <x:v>-33000</x:v>
      </x:c>
    </x:row>
    <x:row r="9" ht="15" hidden="0" customHeight="1">
      <x:c r="A9" s="14" t="str">
        <x:v>Recognise omitted and corrected operating expenses</x:v>
      </x:c>
      <x:c r="B9" s="18" t="n">
        <x:f>-(SUM(Opex!C5:C13)-168000)</x:f>
        <x:v>-62000</x:v>
      </x:c>
    </x:row>
    <x:row r="10" ht="15" hidden="0" customHeight="1">
      <x:c r="A10" s="14" t="str">
        <x:v>Recognise interest expense</x:v>
      </x:c>
      <x:c r="B10" s="18" t="n">
        <x:f>-'Debt Owner'!E5</x:f>
        <x:v>-12000</x:v>
      </x:c>
    </x:row>
    <x:row r="11" ht="15" hidden="0" customHeight="1">
      <x:c r="A11" s="17" t="str">
        <x:v>Reconciled profit</x:v>
      </x:c>
      <x:c r="B11" s="19" t="n">
        <x:f>SUM(B5:B10)</x:f>
        <x:v>65000</x:v>
      </x:c>
    </x:row>
    <x:row r="12"/>
    <x:row r="13" ht="26.399999618530273" hidden="0" customHeight="1">
      <x:c r="A13" s="24" t="str">
        <x:v>Purpose</x:v>
      </x:c>
      <x:c r="B13" s="24" t="str">
        <x:v>This bridge rejects the management EUR312,000 claim using the reconciled schedules. Owner distributions affect equity and financing cash flow, not profit.</x:v>
      </x:c>
      <x:c r="C13" s="24"/>
      <x:c r="D13" s="24"/>
      <x:c r="E13" s="24"/>
    </x:row>
  </x:sheetData>
  <x:mergeCells>
    <x:mergeCell ref="A1:E1"/>
    <x:mergeCell ref="A2:E2"/>
    <x:mergeCell ref="B13:E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4" hidden="0" customWidth="1"/>
    <x:col min="4" max="4" width="34" hidden="0" customWidth="1"/>
    <x:col min="5" max="5" width="17" hidden="0" customWidth="1"/>
    <x:col min="6" max="6" width="14" hidden="0" customWidth="1"/>
    <x:col min="7" max="7" width="14" hidden="0" customWidth="1"/>
  </x:cols>
  <x:sheetData>
    <x:row r="1" ht="18" hidden="0" customHeight="1">
      <x:c r="A1" s="5" t="str">
        <x:v>Final Financial Statements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Profit and loss</x:v>
      </x:c>
      <x:c r="B4" s="13" t="str">
        <x:v>EUR</x:v>
      </x:c>
      <x:c r="D4" s="13" t="str">
        <x:v>Cash flow statement</x:v>
      </x:c>
      <x:c r="E4" s="13" t="str">
        <x:v>EUR</x:v>
      </x:c>
    </x:row>
    <x:row r="5" ht="15" hidden="0" customHeight="1">
      <x:c r="A5" s="14" t="str">
        <x:v>Revenue</x:v>
      </x:c>
      <x:c r="B5" s="18" t="n">
        <x:f>'Rev AR'!B11</x:f>
        <x:v>960000</x:v>
      </x:c>
      <x:c r="D5" s="14" t="str">
        <x:v>Customer receipts including deposits</x:v>
      </x:c>
      <x:c r="E5" s="18" t="n">
        <x:f>'Rev AR'!C11+35000+'Rev AR'!B13</x:f>
        <x:v>899000</x:v>
      </x:c>
    </x:row>
    <x:row r="6" ht="15" hidden="0" customHeight="1">
      <x:c r="A6" s="14" t="str">
        <x:v>Materials COGS</x:v>
      </x:c>
      <x:c r="B6" s="18" t="n">
        <x:f>Inventory!B7</x:f>
        <x:v>-405000</x:v>
      </x:c>
      <x:c r="D6" s="14" t="str">
        <x:v>Supplier payments</x:v>
      </x:c>
      <x:c r="E6" s="18" t="n">
        <x:f>'Debt Owner'!B13</x:f>
        <x:v>-378000</x:v>
      </x:c>
    </x:row>
    <x:row r="7" ht="15" hidden="0" customHeight="1">
      <x:c r="A7" s="14" t="str">
        <x:v>Direct event payroll</x:v>
      </x:c>
      <x:c r="B7" s="18" t="n">
        <x:f>-Payroll!B5</x:f>
        <x:v>-80000</x:v>
      </x:c>
      <x:c r="D7" s="14" t="str">
        <x:v>Payroll paid</x:v>
      </x:c>
      <x:c r="E7" s="18" t="n">
        <x:f>-Payroll!C8</x:f>
        <x:v>-231000</x:v>
      </x:c>
    </x:row>
    <x:row r="8" ht="15" hidden="0" customHeight="1">
      <x:c r="A8" s="17" t="str">
        <x:v>Gross profit</x:v>
      </x:c>
      <x:c r="B8" s="19" t="n">
        <x:f>SUM(B5:B7)</x:f>
        <x:v>475000</x:v>
      </x:c>
      <x:c r="D8" s="14" t="str">
        <x:v>Rent paid</x:v>
      </x:c>
      <x:c r="E8" s="18" t="n">
        <x:f>-Opex!B5</x:f>
        <x:v>-48000</x:v>
      </x:c>
    </x:row>
    <x:row r="9" ht="15" hidden="0" customHeight="1">
      <x:c r="A9" s="14" t="str">
        <x:v>Sales and partnerships payroll</x:v>
      </x:c>
      <x:c r="B9" s="18" t="n">
        <x:f>-Payroll!B6</x:f>
        <x:v>-72000</x:v>
      </x:c>
      <x:c r="D9" s="14" t="str">
        <x:v>Marketing paid</x:v>
      </x:c>
      <x:c r="E9" s="18" t="n">
        <x:f>-Opex!B6</x:f>
        <x:v>-55000</x:v>
      </x:c>
    </x:row>
    <x:row r="10" ht="15" hidden="0" customHeight="1">
      <x:c r="A10" s="14" t="str">
        <x:v>Office and finance payroll</x:v>
      </x:c>
      <x:c r="B10" s="18" t="n">
        <x:f>-Payroll!B7</x:f>
        <x:v>-96000</x:v>
      </x:c>
      <x:c r="D10" s="14" t="str">
        <x:v>Software paid</x:v>
      </x:c>
      <x:c r="E10" s="18" t="n">
        <x:f>-Opex!B7</x:f>
        <x:v>-16000</x:v>
      </x:c>
    </x:row>
    <x:row r="11" ht="15" hidden="0" customHeight="1">
      <x:c r="A11" s="14" t="str">
        <x:v>Rent</x:v>
      </x:c>
      <x:c r="B11" s="18" t="n">
        <x:f>-Opex!C5</x:f>
        <x:v>-48000</x:v>
      </x:c>
      <x:c r="D11" s="14" t="str">
        <x:v>Utilities paid</x:v>
      </x:c>
      <x:c r="E11" s="18" t="n">
        <x:f>-Opex!B8</x:f>
        <x:v>-12000</x:v>
      </x:c>
    </x:row>
    <x:row r="12" ht="15" hidden="0" customHeight="1">
      <x:c r="A12" s="14" t="str">
        <x:v>Marketing</x:v>
      </x:c>
      <x:c r="B12" s="18" t="n">
        <x:f>-Opex!C6</x:f>
        <x:v>-55000</x:v>
      </x:c>
      <x:c r="D12" s="14" t="str">
        <x:v>Repair paid</x:v>
      </x:c>
      <x:c r="E12" s="18" t="n">
        <x:f>-Opex!B9</x:f>
        <x:v>-10000</x:v>
      </x:c>
    </x:row>
    <x:row r="13" ht="15" hidden="0" customHeight="1">
      <x:c r="A13" s="14" t="str">
        <x:v>Software</x:v>
      </x:c>
      <x:c r="B13" s="18" t="n">
        <x:f>-Opex!C7</x:f>
        <x:v>-16000</x:v>
      </x:c>
      <x:c r="D13" s="14" t="str">
        <x:v>Interest paid</x:v>
      </x:c>
      <x:c r="E13" s="18" t="n">
        <x:f>'Debt Owner'!E6</x:f>
        <x:v>-10000</x:v>
      </x:c>
    </x:row>
    <x:row r="14" ht="15" hidden="0" customHeight="1">
      <x:c r="A14" s="14" t="str">
        <x:v>Utilities</x:v>
      </x:c>
      <x:c r="B14" s="18" t="n">
        <x:f>-Opex!C8</x:f>
        <x:v>-12000</x:v>
      </x:c>
      <x:c r="D14" s="17" t="str">
        <x:v>Net cash from operating activities</x:v>
      </x:c>
      <x:c r="E14" s="19" t="n">
        <x:f>SUM(E5:E13)</x:f>
        <x:v>139000</x:v>
      </x:c>
    </x:row>
    <x:row r="15" ht="15" hidden="0" customHeight="1">
      <x:c r="A15" s="14" t="str">
        <x:v>Repair expense</x:v>
      </x:c>
      <x:c r="B15" s="18" t="n">
        <x:f>-Opex!C9</x:f>
        <x:v>-10000</x:v>
      </x:c>
      <x:c r="D15" s="14" t="str">
        <x:v>PPE additions</x:v>
      </x:c>
      <x:c r="E15" s="18" t="n">
        <x:f>-(PPE!B6+PPE!B7)</x:f>
        <x:v>-80000</x:v>
      </x:c>
    </x:row>
    <x:row r="16" ht="15" hidden="0" customHeight="1">
      <x:c r="A16" s="14" t="str">
        <x:v>Inventory impairment</x:v>
      </x:c>
      <x:c r="B16" s="18" t="n">
        <x:f>-Opex!C10</x:f>
        <x:v>-22000</x:v>
      </x:c>
      <x:c r="D16" s="17" t="str">
        <x:v>Net cash from investing activities</x:v>
      </x:c>
      <x:c r="E16" s="19" t="n">
        <x:f>E15</x:f>
        <x:v>-80000</x:v>
      </x:c>
    </x:row>
    <x:row r="17" ht="15" hidden="0" customHeight="1">
      <x:c r="A17" s="14" t="str">
        <x:v>Bad-debt expense</x:v>
      </x:c>
      <x:c r="B17" s="18" t="n">
        <x:f>-Opex!C11</x:f>
        <x:v>-18000</x:v>
      </x:c>
      <x:c r="D17" s="14" t="str">
        <x:v>New bank borrowing</x:v>
      </x:c>
      <x:c r="E17" s="18" t="n">
        <x:f>'Debt Owner'!B6</x:f>
        <x:v>50000</x:v>
      </x:c>
    </x:row>
    <x:row r="18" ht="15" hidden="0" customHeight="1">
      <x:c r="A18" s="14" t="str">
        <x:v>Legal provision expense</x:v>
      </x:c>
      <x:c r="B18" s="18" t="n">
        <x:f>-Opex!C12</x:f>
        <x:v>-25000</x:v>
      </x:c>
      <x:c r="D18" s="14" t="str">
        <x:v>Loan principal repayment</x:v>
      </x:c>
      <x:c r="E18" s="18" t="n">
        <x:f>'Debt Owner'!B7</x:f>
        <x:v>-19000</x:v>
      </x:c>
    </x:row>
    <x:row r="19" ht="15" hidden="0" customHeight="1">
      <x:c r="A19" s="14" t="str">
        <x:v>Depreciation</x:v>
      </x:c>
      <x:c r="B19" s="18" t="n">
        <x:f>-Opex!C13</x:f>
        <x:v>-24000</x:v>
      </x:c>
      <x:c r="D19" s="14" t="str">
        <x:v>Owner distributions</x:v>
      </x:c>
      <x:c r="E19" s="18" t="n">
        <x:f>-'Debt Owner'!B20</x:f>
        <x:v>-110000</x:v>
      </x:c>
    </x:row>
    <x:row r="20" ht="15" hidden="0" customHeight="1">
      <x:c r="A20" s="16" t="str">
        <x:v>Operating profit</x:v>
      </x:c>
      <x:c r="B20" s="26" t="n">
        <x:f>SUM(B8:B19)</x:f>
        <x:v>77000</x:v>
      </x:c>
      <x:c r="D20" s="16" t="str">
        <x:v>Net cash from financing activities</x:v>
      </x:c>
      <x:c r="E20" s="26" t="n">
        <x:f>SUM(E17:E19)</x:f>
        <x:v>-79000</x:v>
      </x:c>
    </x:row>
    <x:row r="21" ht="15" hidden="0" customHeight="1">
      <x:c r="A21" s="16" t="str">
        <x:v>Interest expense</x:v>
      </x:c>
      <x:c r="B21" s="26" t="n">
        <x:f>-'Debt Owner'!E5</x:f>
        <x:v>-12000</x:v>
      </x:c>
      <x:c r="D21" s="16" t="str">
        <x:v>Net decrease in cash</x:v>
      </x:c>
      <x:c r="E21" s="26" t="n">
        <x:f>SUM(E14,E16,E20)</x:f>
        <x:v>-20000</x:v>
      </x:c>
    </x:row>
    <x:row r="22" ht="15" hidden="0" customHeight="1">
      <x:c r="A22" s="17" t="str">
        <x:v>Profit for the period</x:v>
      </x:c>
      <x:c r="B22" s="19" t="n">
        <x:f>SUM(B20:B21)</x:f>
        <x:v>65000</x:v>
      </x:c>
      <x:c r="D22" s="16" t="str">
        <x:v>Opening cash</x:v>
      </x:c>
      <x:c r="E22" s="26" t="n">
        <x:v>80000</x:v>
      </x:c>
    </x:row>
    <x:row r="23" ht="15" hidden="0" customHeight="1">
      <x:c r="A23" s="14"/>
      <x:c r="B23" s="18"/>
      <x:c r="D23" s="17" t="str">
        <x:v>Closing cash</x:v>
      </x:c>
      <x:c r="E23" s="19" t="n">
        <x:f>SUM(E21:E22)</x:f>
        <x:v>60000</x:v>
      </x:c>
    </x:row>
    <x:row r="24" ht="15" hidden="0" customHeight="1">
      <x:c r="B24" s="20"/>
      <x:c r="D24" s="14" t="str"/>
      <x:c r="E24" s="18"/>
    </x:row>
    <x:row r="25" ht="15" hidden="0" customHeight="1">
      <x:c r="A25" s="13" t="str">
        <x:v>Balance sheet</x:v>
      </x:c>
      <x:c r="B25" s="27" t="str">
        <x:v>EUR</x:v>
      </x:c>
      <x:c r="D25" s="14" t="str">
        <x:v>Indirect operating cash flow check</x:v>
      </x:c>
      <x:c r="E25" s="18" t="n">
        <x:f>E14</x:f>
        <x:v>139000</x:v>
      </x:c>
    </x:row>
    <x:row r="26" ht="15" hidden="0" customHeight="1">
      <x:c r="A26" s="14" t="str">
        <x:v>Current assets</x:v>
      </x:c>
      <x:c r="B26" s="18"/>
    </x:row>
    <x:row r="27" ht="15" hidden="0" customHeight="1">
      <x:c r="A27" s="14" t="str">
        <x:v>Cash</x:v>
      </x:c>
      <x:c r="B27" s="18" t="n">
        <x:f>'Cash Flow'!B21</x:f>
        <x:v>60000</x:v>
      </x:c>
    </x:row>
    <x:row r="28" ht="15" hidden="0" customHeight="1">
      <x:c r="A28" s="14" t="str">
        <x:v>Trade receivables, net</x:v>
      </x:c>
      <x:c r="B28" s="18" t="n">
        <x:f>'Rev AR'!F11</x:f>
        <x:v>168000</x:v>
      </x:c>
    </x:row>
    <x:row r="29" ht="15" hidden="0" customHeight="1">
      <x:c r="A29" s="14" t="str">
        <x:v>Inventory</x:v>
      </x:c>
      <x:c r="B29" s="18" t="n">
        <x:f>Inventory!B10</x:f>
        <x:v>112000</x:v>
      </x:c>
    </x:row>
    <x:row r="30" ht="15" hidden="0" customHeight="1">
      <x:c r="A30" s="14" t="str">
        <x:v>Prepaid insurance</x:v>
      </x:c>
      <x:c r="B30" s="18" t="n">
        <x:v>0</x:v>
      </x:c>
    </x:row>
    <x:row r="31" ht="15" hidden="0" customHeight="1">
      <x:c r="A31" s="17" t="str">
        <x:v>Total current assets</x:v>
      </x:c>
      <x:c r="B31" s="19" t="n">
        <x:f>SUM(B27:B30)</x:f>
        <x:v>340000</x:v>
      </x:c>
    </x:row>
    <x:row r="32" ht="15" hidden="0" customHeight="1">
      <x:c r="A32" s="14" t="str">
        <x:v>Non-current assets</x:v>
      </x:c>
      <x:c r="B32" s="18"/>
    </x:row>
    <x:row r="33" ht="26.399999618530273" hidden="0" customHeight="1">
      <x:c r="A33" s="14" t="str">
        <x:v>Property, plant and equipment, net (D028/D044)</x:v>
      </x:c>
      <x:c r="B33" s="18" t="n">
        <x:f>PPE!B9</x:f>
        <x:v>191000</x:v>
      </x:c>
    </x:row>
    <x:row r="34" ht="15" hidden="0" customHeight="1">
      <x:c r="A34" s="17" t="str">
        <x:v>Total assets</x:v>
      </x:c>
      <x:c r="B34" s="19" t="n">
        <x:f>SUM(B31:B33)</x:f>
        <x:v>531000</x:v>
      </x:c>
    </x:row>
    <x:row r="35" ht="15" hidden="0" customHeight="1">
      <x:c r="A35" s="14" t="str"/>
      <x:c r="B35" s="18"/>
    </x:row>
    <x:row r="36" ht="15" hidden="0" customHeight="1">
      <x:c r="A36" s="14" t="str">
        <x:v>Current liabilities</x:v>
      </x:c>
      <x:c r="B36" s="18"/>
    </x:row>
    <x:row r="37" ht="15" hidden="0" customHeight="1">
      <x:c r="A37" s="14" t="str">
        <x:v>Supplier payables</x:v>
      </x:c>
      <x:c r="B37" s="18" t="n">
        <x:f>'Debt Owner'!B14</x:f>
        <x:v>126000</x:v>
      </x:c>
    </x:row>
    <x:row r="38" ht="15" hidden="0" customHeight="1">
      <x:c r="A38" s="14" t="str">
        <x:v>Payroll accrual</x:v>
      </x:c>
      <x:c r="B38" s="18" t="n">
        <x:f>Payroll!B13</x:f>
        <x:v>32000</x:v>
      </x:c>
    </x:row>
    <x:row r="39" ht="15" hidden="0" customHeight="1">
      <x:c r="A39" s="14" t="str">
        <x:v>Interest payable</x:v>
      </x:c>
      <x:c r="B39" s="18" t="n">
        <x:f>'Debt Owner'!E7</x:f>
        <x:v>2000</x:v>
      </x:c>
    </x:row>
    <x:row r="40" ht="15" hidden="0" customHeight="1">
      <x:c r="A40" s="14" t="str">
        <x:v>Customer deposits</x:v>
      </x:c>
      <x:c r="B40" s="18" t="n">
        <x:f>'Rev AR'!B14</x:f>
        <x:v>90000</x:v>
      </x:c>
    </x:row>
    <x:row r="41" ht="15" hidden="0" customHeight="1">
      <x:c r="A41" s="14" t="str">
        <x:v>Legal provision</x:v>
      </x:c>
      <x:c r="B41" s="18" t="n">
        <x:f>'Debt Owner'!E18</x:f>
        <x:v>25000</x:v>
      </x:c>
    </x:row>
    <x:row r="42" ht="15" hidden="0" customHeight="1">
      <x:c r="A42" s="17" t="str">
        <x:v>Total current liabilities</x:v>
      </x:c>
      <x:c r="B42" s="19" t="n">
        <x:f>SUM(B37:B41)</x:f>
        <x:v>275000</x:v>
      </x:c>
    </x:row>
    <x:row r="43" ht="15" hidden="0" customHeight="1">
      <x:c r="A43" s="14" t="str">
        <x:v>Non-current liabilities</x:v>
      </x:c>
      <x:c r="B43" s="18"/>
    </x:row>
    <x:row r="44" ht="15" hidden="0" customHeight="1">
      <x:c r="A44" s="14" t="str">
        <x:v>Loan principal</x:v>
      </x:c>
      <x:c r="B44" s="18" t="n">
        <x:f>'Debt Owner'!B8</x:f>
        <x:v>131000</x:v>
      </x:c>
    </x:row>
    <x:row r="45" ht="15" hidden="0" customHeight="1">
      <x:c r="A45" s="16" t="str">
        <x:v>Total liabilities</x:v>
      </x:c>
      <x:c r="B45" s="26" t="n">
        <x:f>SUM(B42:B44)</x:f>
        <x:v>406000</x:v>
      </x:c>
    </x:row>
    <x:row r="46" ht="15" hidden="0" customHeight="1">
      <x:c r="A46" s="16" t="str">
        <x:v>Equity</x:v>
      </x:c>
      <x:c r="B46" s="26" t="n">
        <x:f>Equity!B8</x:f>
        <x:v>125000</x:v>
      </x:c>
    </x:row>
    <x:row r="47" ht="15" hidden="0" customHeight="1">
      <x:c r="A47" s="17" t="str">
        <x:v>Total liabilities and equity</x:v>
      </x:c>
      <x:c r="B47" s="19" t="n">
        <x:f>SUM(B45:B46)</x:f>
        <x:v>531000</x:v>
      </x:c>
    </x:row>
    <x:row r="48"/>
    <x:row r="49" ht="26.399999618530273" hidden="0" customHeight="1">
      <x:c r="A49" s="24" t="str">
        <x:v>Final basis</x:v>
      </x:c>
      <x:c r="B49" s="24" t="str">
        <x:v>EUR65,000 profit, EUR531,000 assets and EUR125,000 equity. The EUR61,000 insurance-feedback alternative is in Opening BS and is not used as case evidence.</x:v>
      </x:c>
      <x:c r="C49" s="24"/>
      <x:c r="D49" s="24"/>
      <x:c r="E49" s="24"/>
      <x:c r="F49" s="24"/>
      <x:c r="G49" s="24"/>
    </x:row>
  </x:sheetData>
  <x:mergeCells>
    <x:mergeCell ref="A1:G1"/>
    <x:mergeCell ref="A2:G2"/>
    <x:mergeCell ref="B49:G4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18" hidden="0" customHeight="1">
      <x:c r="A1" s="5" t="str">
        <x:v>Cash Flow Reconciliation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Indirect operating cash flow</x:v>
      </x:c>
      <x:c r="B4" s="13" t="str">
        <x:v>EUR</x:v>
      </x:c>
    </x:row>
    <x:row r="5" ht="15" hidden="0" customHeight="1">
      <x:c r="A5" s="14" t="str">
        <x:v>Profit for the period</x:v>
      </x:c>
      <x:c r="B5" s="18" t="n">
        <x:f>Summary!B22</x:f>
        <x:v>65000</x:v>
      </x:c>
    </x:row>
    <x:row r="6" ht="15" hidden="0" customHeight="1">
      <x:c r="A6" s="14" t="str">
        <x:v>Depreciation</x:v>
      </x:c>
      <x:c r="B6" s="18" t="n">
        <x:f>-Summary!B19</x:f>
        <x:v>24000</x:v>
      </x:c>
    </x:row>
    <x:row r="7" ht="15" hidden="0" customHeight="1">
      <x:c r="A7" s="14" t="str">
        <x:v>Inventory impairment</x:v>
      </x:c>
      <x:c r="B7" s="18" t="n">
        <x:f>-Summary!B16</x:f>
        <x:v>22000</x:v>
      </x:c>
    </x:row>
    <x:row r="8" ht="15" hidden="0" customHeight="1">
      <x:c r="A8" s="14" t="str">
        <x:v>Bad-debt expense</x:v>
      </x:c>
      <x:c r="B8" s="18" t="n">
        <x:f>-Summary!B17</x:f>
        <x:v>18000</x:v>
      </x:c>
    </x:row>
    <x:row r="9" ht="15" hidden="0" customHeight="1">
      <x:c r="A9" s="14" t="str">
        <x:v>Legal provision expense</x:v>
      </x:c>
      <x:c r="B9" s="18" t="n">
        <x:f>-Summary!B18</x:f>
        <x:v>25000</x:v>
      </x:c>
    </x:row>
    <x:row r="10" ht="15" hidden="0" customHeight="1">
      <x:c r="A10" s="14" t="str">
        <x:v>Increase in gross receivables</x:v>
      </x:c>
      <x:c r="B10" s="18" t="n">
        <x:f>-('Rev AR'!D11-35000)</x:f>
        <x:v>-151000</x:v>
      </x:c>
    </x:row>
    <x:row r="11" ht="15" hidden="0" customHeight="1">
      <x:c r="A11" s="14" t="str">
        <x:v>Increase in inventory before impairment</x:v>
      </x:c>
      <x:c r="B11" s="18" t="n">
        <x:f>-(Inventory!B8-Inventory!B5)</x:f>
        <x:v>-54000</x:v>
      </x:c>
    </x:row>
    <x:row r="12" ht="15" hidden="0" customHeight="1">
      <x:c r="A12" s="14" t="str">
        <x:v>Increase in supplier payables</x:v>
      </x:c>
      <x:c r="B12" s="18" t="n">
        <x:f>'Debt Owner'!B14-'Debt Owner'!B11</x:f>
        <x:v>81000</x:v>
      </x:c>
    </x:row>
    <x:row r="13" ht="15" hidden="0" customHeight="1">
      <x:c r="A13" s="14" t="str">
        <x:v>Increase in payroll accrual</x:v>
      </x:c>
      <x:c r="B13" s="18" t="n">
        <x:f>Payroll!B13-Payroll!B10</x:f>
        <x:v>17000</x:v>
      </x:c>
    </x:row>
    <x:row r="14" ht="15" hidden="0" customHeight="1">
      <x:c r="A14" s="14" t="str">
        <x:v>Increase in customer deposits</x:v>
      </x:c>
      <x:c r="B14" s="18" t="n">
        <x:f>'Rev AR'!B14</x:f>
        <x:v>90000</x:v>
      </x:c>
    </x:row>
    <x:row r="15" ht="15" hidden="0" customHeight="1">
      <x:c r="A15" s="14" t="str">
        <x:v>Increase in interest payable</x:v>
      </x:c>
      <x:c r="B15" s="18" t="n">
        <x:f>'Debt Owner'!E7</x:f>
        <x:v>2000</x:v>
      </x:c>
    </x:row>
    <x:row r="16" ht="15" hidden="0" customHeight="1">
      <x:c r="A16" s="17" t="str">
        <x:v>Net cash from operating activities</x:v>
      </x:c>
      <x:c r="B16" s="19" t="n">
        <x:f>SUM(B5:B15)</x:f>
        <x:v>139000</x:v>
      </x:c>
    </x:row>
    <x:row r="17" ht="15" hidden="0" customHeight="1">
      <x:c r="B17" s="20"/>
    </x:row>
    <x:row r="18" ht="15" hidden="0" customHeight="1">
      <x:c r="A18" s="14" t="str">
        <x:v>Check against direct cash flow</x:v>
      </x:c>
      <x:c r="B18" s="18" t="n">
        <x:f>B16-Summary!E14</x:f>
        <x:v>0</x:v>
      </x:c>
    </x:row>
    <x:row r="19" ht="15" hidden="0" customHeight="1">
      <x:c r="B19" s="20"/>
    </x:row>
    <x:row r="20" ht="15" hidden="0" customHeight="1">
      <x:c r="A20" s="14" t="str">
        <x:v>Opening cash</x:v>
      </x:c>
      <x:c r="B20" s="18" t="n">
        <x:v>80000</x:v>
      </x:c>
    </x:row>
    <x:row r="21" ht="15" hidden="0" customHeight="1">
      <x:c r="A21" s="14" t="str">
        <x:v>Closing cash</x:v>
      </x:c>
      <x:c r="B21" s="18" t="n">
        <x:f>Summary!E23</x:f>
        <x:v>60000</x:v>
      </x:c>
    </x:row>
    <x:row r="22"/>
    <x:row r="23" ht="39.599998474121094" hidden="0" customHeight="1">
      <x:c r="A23" s="24" t="str">
        <x:v>Treatment</x:v>
      </x:c>
      <x:c r="B23" s="24" t="str">
        <x:v>The indirect bridge uses gross receivables and inventory before impairment to avoid double counting the EUR18,000 credit loss and EUR22,000 stock impairment.</x:v>
      </x:c>
      <x:c r="C23" s="24"/>
      <x:c r="D23" s="24"/>
    </x:row>
  </x:sheetData>
  <x:mergeCells>
    <x:mergeCell ref="A1:D1"/>
    <x:mergeCell ref="A2:D2"/>
    <x:mergeCell ref="B23:D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</x:cols>
  <x:sheetData>
    <x:row r="1" ht="18" hidden="0" customHeight="1">
      <x:c r="A1" s="5" t="str">
        <x:v>Reconciliations and Checks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Check</x:v>
      </x:c>
      <x:c r="B4" s="13" t="str">
        <x:v>Difference</x:v>
      </x:c>
      <x:c r="C4" s="13" t="str">
        <x:v>Expected</x:v>
      </x:c>
    </x:row>
    <x:row r="5" ht="15" hidden="0" customHeight="1">
      <x:c r="A5" s="14" t="str">
        <x:v>Balance sheet balances</x:v>
      </x:c>
      <x:c r="B5" s="18" t="n">
        <x:f>Summary!B34-Summary!B47</x:f>
        <x:v>0</x:v>
      </x:c>
      <x:c r="C5" s="18" t="n">
        <x:v>0</x:v>
      </x:c>
    </x:row>
    <x:row r="6" ht="15" hidden="0" customHeight="1">
      <x:c r="A6" s="14" t="str">
        <x:v>Closing cash agrees to bank confirmation</x:v>
      </x:c>
      <x:c r="B6" s="18" t="n">
        <x:f>Summary!B27-60000</x:f>
        <x:v>0</x:v>
      </x:c>
      <x:c r="C6" s="18" t="n">
        <x:v>0</x:v>
      </x:c>
    </x:row>
    <x:row r="7" ht="15" hidden="0" customHeight="1">
      <x:c r="A7" s="14" t="str">
        <x:v>Receivable roll-forward agrees to CRM gross balance</x:v>
      </x:c>
      <x:c r="B7" s="18" t="n">
        <x:f>'Rev AR'!D11-(35000+'Rev AR'!B11-809000)</x:f>
        <x:v>0</x:v>
      </x:c>
      <x:c r="C7" s="18" t="n">
        <x:v>0</x:v>
      </x:c>
    </x:row>
    <x:row r="8" ht="15" hidden="0" customHeight="1">
      <x:c r="A8" s="14" t="str">
        <x:v>Supplier roll-forward agrees to confirmed balances</x:v>
      </x:c>
      <x:c r="B8" s="18" t="n">
        <x:f>'Debt Owner'!B14-'Debt Owner'!E15</x:f>
        <x:v>0</x:v>
      </x:c>
      <x:c r="C8" s="18" t="n">
        <x:v>0</x:v>
      </x:c>
    </x:row>
    <x:row r="9" ht="15" hidden="0" customHeight="1">
      <x:c r="A9" s="14" t="str">
        <x:v>PPE and depreciation reconcile</x:v>
      </x:c>
      <x:c r="B9" s="18" t="n">
        <x:f>PPE!B8-PPE!D7-PPE!B9</x:f>
        <x:v>0</x:v>
      </x:c>
      <x:c r="C9" s="18" t="n">
        <x:v>0</x:v>
      </x:c>
    </x:row>
    <x:row r="10" ht="15" hidden="0" customHeight="1">
      <x:c r="A10" s="14" t="str">
        <x:v>Interest expense, cash paid and payable reconcile</x:v>
      </x:c>
      <x:c r="B10" s="18" t="n">
        <x:f>'Debt Owner'!E5+'Debt Owner'!E6-'Debt Owner'!E7</x:f>
        <x:v>0</x:v>
      </x:c>
      <x:c r="C10" s="18" t="n">
        <x:v>0</x:v>
      </x:c>
    </x:row>
    <x:row r="11" ht="15" hidden="0" customHeight="1">
      <x:c r="A11" s="14" t="str">
        <x:v>Management profit bridge agrees to final P&amp;L</x:v>
      </x:c>
      <x:c r="B11" s="18" t="n">
        <x:f>'Management Bridge'!B11-Summary!B22</x:f>
        <x:v>0</x:v>
      </x:c>
      <x:c r="C11" s="18" t="n">
        <x:v>0</x:v>
      </x:c>
    </x:row>
    <x:row r="12" ht="15" hidden="0" customHeight="1">
      <x:c r="A12" s="14" t="str">
        <x:v>Direct and indirect operating cash flow agree</x:v>
      </x:c>
      <x:c r="B12" s="18" t="n">
        <x:f>Summary!E14-'Cash Flow'!B16</x:f>
        <x:v>0</x:v>
      </x:c>
      <x:c r="C12" s="18" t="n">
        <x:v>0</x:v>
      </x:c>
    </x:row>
    <x:row r="13"/>
    <x:row r="14" ht="52.79999923706055" hidden="0" customHeight="1">
      <x:c r="A14" s="24" t="str">
        <x:v>Open disclosure</x:v>
      </x:c>
      <x:c r="B14" s="24" t="str">
        <x:v>Insurance: no original case record supports an opening prepaid balance, cash premium or coverage period. Final schedules recognise no adjustment. The EUR12,000 course-feedback alternative is displayed separately in Opening BS. The EUR2,000 disposal quote is disclosed but not provided for.</x:v>
      </x:c>
      <x:c r="C14" s="24"/>
      <x:c r="D14" s="24"/>
      <x:c r="E14" s="24"/>
    </x:row>
  </x:sheetData>
  <x:mergeCells>
    <x:mergeCell ref="A1:E1"/>
    <x:mergeCell ref="A2:E2"/>
    <x:mergeCell ref="B14:E14"/>
  </x:mergeCells>
  <x:conditionalFormatting sqref="A5:C12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5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8" hidden="0" customHeight="1">
      <x:c r="A1" s="5" t="str">
        <x:v>Source Register and Basis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5" hidden="0" customHeight="1">
      <x:c r="A2" s="6" t="str">
        <x:v>DPI-HT-01 | 31 August 2026 | EUR</x:v>
      </x:c>
    </x:row>
    <x:row r="3"/>
    <x:row r="4" ht="15" hidden="0" customHeight="1">
      <x:c r="A4" s="13" t="str">
        <x:v>File</x:v>
      </x:c>
      <x:c r="B4" s="13" t="str">
        <x:v>Use in schedules</x:v>
      </x:c>
      <x:c r="C4" s="13" t="str">
        <x:v>Reliability / treatment</x:v>
      </x:c>
    </x:row>
    <x:row r="5" ht="15" hidden="0" customHeight="1">
      <x:c r="A5" s="14" t="str">
        <x:v>00 Board Order</x:v>
      </x:c>
      <x:c r="B5" s="14" t="str">
        <x:v>Reporting date and evidence hierarchy</x:v>
      </x:c>
      <x:c r="C5" s="14" t="str">
        <x:v>Context</x:v>
      </x:c>
    </x:row>
    <x:row r="6" ht="26.399999618530273" hidden="0" customHeight="1">
      <x:c r="A6" s="14" t="str">
        <x:v>01 Management workbook</x:v>
      </x:c>
      <x:c r="B6" s="14" t="str">
        <x:v>Management claims only</x:v>
      </x:c>
      <x:c r="C6" s="14" t="str">
        <x:v>Low reliability; not used for final classifications</x:v>
      </x:c>
    </x:row>
    <x:row r="7" ht="15" hidden="0" customHeight="1">
      <x:c r="A7" s="14" t="str">
        <x:v>02 Bank Export August.csv</x:v>
      </x:c>
      <x:c r="B7" s="14" t="str">
        <x:v>Cash, collections, payments, loan, distributions</x:v>
      </x:c>
      <x:c r="C7" s="14" t="str">
        <x:v>Primary cash evidence</x:v>
      </x:c>
    </x:row>
    <x:row r="8" ht="15" hidden="0" customHeight="1">
      <x:c r="A8" s="14" t="str">
        <x:v>03 CRM Export</x:v>
      </x:c>
      <x:c r="B8" s="14" t="str">
        <x:v>Revenue, receivables and web balances</x:v>
      </x:c>
      <x:c r="C8" s="14" t="str">
        <x:v>Internal corroboration</x:v>
      </x:c>
    </x:row>
    <x:row r="9" ht="15" hidden="0" customHeight="1">
      <x:c r="A9" s="14" t="str">
        <x:v>04 Contracts and Returns</x:v>
      </x:c>
      <x:c r="B9" s="14" t="str">
        <x:v>Delivery, acceptance, deposits and R-17</x:v>
      </x:c>
      <x:c r="C9" s="14" t="str">
        <x:v>Signed/third-party contract evidence</x:v>
      </x:c>
    </x:row>
    <x:row r="10" ht="15" hidden="0" customHeight="1">
      <x:c r="A10" s="14" t="str">
        <x:v>05 Warehouse Count</x:v>
      </x:c>
      <x:c r="B10" s="14" t="str">
        <x:v>Inventory, COGS and impairment</x:v>
      </x:c>
      <x:c r="C10" s="14" t="str">
        <x:v>Physical count and post-takeover assessment</x:v>
      </x:c>
    </x:row>
    <x:row r="11" ht="15" hidden="0" customHeight="1">
      <x:c r="A11" s="14" t="str">
        <x:v>06 Purchases and Goods Received</x:v>
      </x:c>
      <x:c r="B11" s="14" t="str">
        <x:v>Purchases, supplier payables, PPE and repair</x:v>
      </x:c>
      <x:c r="C11" s="14" t="str">
        <x:v>Third-party invoices and confirmations</x:v>
      </x:c>
    </x:row>
    <x:row r="12" ht="15" hidden="0" customHeight="1">
      <x:c r="A12" s="14" t="str">
        <x:v>07 Payroll workbook</x:v>
      </x:c>
      <x:c r="B12" s="14" t="str">
        <x:v>Expense, cash paid and payroll accrual</x:v>
      </x:c>
      <x:c r="C12" s="14" t="str">
        <x:v>Internal corroboration</x:v>
      </x:c>
    </x:row>
    <x:row r="13" ht="15" hidden="0" customHeight="1">
      <x:c r="A13" s="14" t="str">
        <x:v>08 Assets workbook</x:v>
      </x:c>
      <x:c r="B13" s="14" t="str">
        <x:v>PPE and depreciation</x:v>
      </x:c>
      <x:c r="C13" s="14" t="str">
        <x:v>Internal corroboration</x:v>
      </x:c>
    </x:row>
    <x:row r="14" ht="15" hidden="0" customHeight="1">
      <x:c r="A14" s="14" t="str">
        <x:v>09 Loans Owner Card and Legal</x:v>
      </x:c>
      <x:c r="B14" s="14" t="str">
        <x:v>Loan, interest, distributions and provision</x:v>
      </x:c>
      <x:c r="C14" s="14" t="str">
        <x:v>Bank/legal evidence</x:v>
      </x:c>
    </x:row>
    <x:row r="15" ht="26.399999618530273" hidden="0" customHeight="1">
      <x:c r="A15" s="14" t="str">
        <x:v>10 Messages</x:v>
      </x:c>
      <x:c r="B15" s="14" t="str">
        <x:v>Management-override indicator only</x:v>
      </x:c>
      <x:c r="C15" s="14" t="str">
        <x:v>Low reliability; no embedded instruction followed</x:v>
      </x:c>
    </x:row>
    <x:row r="16" ht="15" hidden="0" customHeight="1">
      <x:c r="A16" s="14" t="str">
        <x:v>11 Post-Takeover Evidence</x:v>
      </x:c>
      <x:c r="B16" s="14" t="str">
        <x:v>Adjusting evidence for R-17, legal, stock, cash and debt</x:v>
      </x:c>
      <x:c r="C16" s="14" t="str">
        <x:v>Strong external evidence</x:v>
      </x:c>
    </x:row>
    <x:row r="17"/>
    <x:row r="18" ht="26.399999618530273" hidden="0" customHeight="1">
      <x:c r="A18" s="24" t="str">
        <x:v>Quality-control boundary</x:v>
      </x:c>
      <x:c r="B18" s="24" t="str">
        <x:v>The independent second analysis and prior student feedback were used to check arithmetic, reconciliation chains and completeness. They did not supply case evidence or insurance amounts.</x:v>
      </x:c>
      <x:c r="C18" s="24"/>
      <x:c r="D18" s="24"/>
      <x:c r="E18" s="24"/>
      <x:c r="F18" s="24"/>
    </x:row>
  </x:sheetData>
  <x:mergeCells>
    <x:mergeCell ref="A1:F1"/>
    <x:mergeCell ref="A2:F2"/>
    <x:mergeCell ref="B18:F18"/>
  </x:mergeCells>
  <x:pageMargins left="0.7" right="0.7" top="0.75" bottom="0.75" header="0.3" footer="0.3"/>
</x:worksheet>
</file>